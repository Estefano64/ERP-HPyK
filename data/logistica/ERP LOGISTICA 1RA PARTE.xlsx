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LOGISTICA 2026\"/>
    </mc:Choice>
  </mc:AlternateContent>
  <xr:revisionPtr revIDLastSave="0" documentId="13_ncr:1_{B27984BF-E9B6-4DE2-B3D8-61059763FFD2}" xr6:coauthVersionLast="47" xr6:coauthVersionMax="47" xr10:uidLastSave="{00000000-0000-0000-0000-000000000000}"/>
  <bookViews>
    <workbookView xWindow="-108" yWindow="-108" windowWidth="23256" windowHeight="12456" activeTab="1" xr2:uid="{8819867B-1B2A-43F0-A63A-1D8027779E48}"/>
  </bookViews>
  <sheets>
    <sheet name="Hoja1" sheetId="1" r:id="rId1"/>
    <sheet name="VERSION FINAL" sheetId="3" r:id="rId2"/>
    <sheet name="Status req.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3" i="3" l="1"/>
  <c r="T25" i="3"/>
  <c r="R28" i="3"/>
  <c r="P15" i="1"/>
  <c r="N16" i="1"/>
  <c r="N15" i="1" s="1"/>
  <c r="N17" i="1"/>
  <c r="N18" i="1"/>
  <c r="O17" i="1"/>
  <c r="O18" i="1"/>
  <c r="O19" i="1"/>
  <c r="O20" i="1"/>
  <c r="V19" i="3"/>
  <c r="AA19" i="3" s="1"/>
  <c r="Q19" i="3"/>
  <c r="L19" i="3"/>
  <c r="V18" i="3"/>
  <c r="AA18" i="3" s="1"/>
  <c r="Q18" i="3"/>
  <c r="L18" i="3"/>
  <c r="X17" i="3"/>
  <c r="V17" i="3"/>
  <c r="AA17" i="3" s="1"/>
  <c r="Q17" i="3"/>
  <c r="L17" i="3"/>
  <c r="X16" i="3"/>
  <c r="V16" i="3"/>
  <c r="AA16" i="3" s="1"/>
  <c r="Q16" i="3"/>
  <c r="L16" i="3"/>
  <c r="V15" i="3"/>
  <c r="X15" i="3" s="1"/>
  <c r="Q15" i="3"/>
  <c r="P15" i="3"/>
  <c r="L15" i="3"/>
  <c r="O16" i="1"/>
  <c r="V20" i="1"/>
  <c r="AB20" i="1" s="1"/>
  <c r="V19" i="1"/>
  <c r="AB19" i="1" s="1"/>
  <c r="V18" i="1"/>
  <c r="AB18" i="1" s="1"/>
  <c r="V17" i="1"/>
  <c r="Y17" i="1" s="1"/>
  <c r="Q20" i="1"/>
  <c r="Q19" i="1"/>
  <c r="Q18" i="1"/>
  <c r="Q17" i="1"/>
  <c r="V16" i="1"/>
  <c r="Y16" i="1" s="1"/>
  <c r="Q16" i="1"/>
  <c r="Q15" i="1" s="1"/>
  <c r="K20" i="1"/>
  <c r="K19" i="1"/>
  <c r="K18" i="1"/>
  <c r="K17" i="1"/>
  <c r="K16" i="1"/>
  <c r="V15" i="1" l="1"/>
  <c r="X18" i="3"/>
  <c r="AA15" i="3"/>
  <c r="X19" i="3"/>
  <c r="Y18" i="1"/>
  <c r="Y19" i="1"/>
  <c r="Y20" i="1"/>
  <c r="AB16" i="1"/>
  <c r="AB17" i="1"/>
</calcChain>
</file>

<file path=xl/sharedStrings.xml><?xml version="1.0" encoding="utf-8"?>
<sst xmlns="http://schemas.openxmlformats.org/spreadsheetml/2006/main" count="408" uniqueCount="154">
  <si>
    <t>Nro. Req</t>
  </si>
  <si>
    <t>Item Req.</t>
  </si>
  <si>
    <t>Tipo</t>
  </si>
  <si>
    <t>Material</t>
  </si>
  <si>
    <t>Descripción</t>
  </si>
  <si>
    <t>Cantidad</t>
  </si>
  <si>
    <t>ITEM</t>
  </si>
  <si>
    <t>Item</t>
  </si>
  <si>
    <t>Vendor</t>
  </si>
  <si>
    <t>Moneda</t>
  </si>
  <si>
    <t>Valor</t>
  </si>
  <si>
    <t>Nro Guia</t>
  </si>
  <si>
    <t>Nro Factura</t>
  </si>
  <si>
    <t>Fabricante</t>
  </si>
  <si>
    <t>Fecha de llegada</t>
  </si>
  <si>
    <t>OT información relacionada por NP del componente</t>
  </si>
  <si>
    <t>Visulizador opcional (si se selecciona)</t>
  </si>
  <si>
    <t>Abrir sobre el cuadro</t>
  </si>
  <si>
    <t>Fecha requerida</t>
  </si>
  <si>
    <t>(Se agrupa)</t>
  </si>
  <si>
    <t>REVISION</t>
  </si>
  <si>
    <t>COTIZACIÓN</t>
  </si>
  <si>
    <t>APROBACIÓN</t>
  </si>
  <si>
    <t>PROCESO</t>
  </si>
  <si>
    <t>COMPLETO</t>
  </si>
  <si>
    <t>ANULADO</t>
  </si>
  <si>
    <t>DEVOLUCIÓN</t>
  </si>
  <si>
    <t>OT-1</t>
  </si>
  <si>
    <t>Fecha de registro (cuando se ponga recurso solicitado) automatico</t>
  </si>
  <si>
    <t>CAT</t>
  </si>
  <si>
    <t>KOM</t>
  </si>
  <si>
    <t>ALT</t>
  </si>
  <si>
    <t>4. Log prod - Task list materiales</t>
  </si>
  <si>
    <t>1 Log - material</t>
  </si>
  <si>
    <t>Manual</t>
  </si>
  <si>
    <t>Tabla Status Req.</t>
  </si>
  <si>
    <t>REV</t>
  </si>
  <si>
    <t>COT</t>
  </si>
  <si>
    <t>APR</t>
  </si>
  <si>
    <t>PRO</t>
  </si>
  <si>
    <t>COM</t>
  </si>
  <si>
    <t>ANU</t>
  </si>
  <si>
    <t>DEV</t>
  </si>
  <si>
    <t>INC</t>
  </si>
  <si>
    <t>INCOMPLETO</t>
  </si>
  <si>
    <t>COD</t>
  </si>
  <si>
    <t>descripción</t>
  </si>
  <si>
    <t>APROBADO</t>
  </si>
  <si>
    <t>Estado REQ.</t>
  </si>
  <si>
    <t>OC</t>
  </si>
  <si>
    <t>Estado OC</t>
  </si>
  <si>
    <t>Correlativo de acuerdo al usuario</t>
  </si>
  <si>
    <t>Automatico</t>
  </si>
  <si>
    <t>COT-1</t>
  </si>
  <si>
    <t>COT-2</t>
  </si>
  <si>
    <t>REQ</t>
  </si>
  <si>
    <t>Estado COT</t>
  </si>
  <si>
    <t>DESAPROBADO</t>
  </si>
  <si>
    <t>GER. / PROD.</t>
  </si>
  <si>
    <t>Manual (LOG)</t>
  </si>
  <si>
    <t>Automatico editable (LOG)</t>
  </si>
  <si>
    <t>Fecha de OC</t>
  </si>
  <si>
    <t>ORDEN DE COMPRA</t>
  </si>
  <si>
    <t>Fecha estimada de llegada</t>
  </si>
  <si>
    <t>imprimir según OC</t>
  </si>
  <si>
    <t>Datos completos del vendor</t>
  </si>
  <si>
    <t>363525-1</t>
  </si>
  <si>
    <t>353525-C</t>
  </si>
  <si>
    <t>MAC</t>
  </si>
  <si>
    <t>SER</t>
  </si>
  <si>
    <t>CODIGO SEGÚN SOTFWARE</t>
  </si>
  <si>
    <t>KIT DE SELLOS, AK4307, KOM</t>
  </si>
  <si>
    <t>BEARING, PC1686, KOM</t>
  </si>
  <si>
    <t>SELLO,RS17C 82.55 X 96.00 X 10.8 PU RED + NBR + PA, ALT</t>
  </si>
  <si>
    <t>ACERO, ACERO H1045 Ø 6-3/4" X 4" LONG,BOH</t>
  </si>
  <si>
    <t>Texto</t>
  </si>
  <si>
    <t>CROMADO Y RECTIFICADO DE VASTAGO DE OT 363525 DIMENSION 3.25 X 32</t>
  </si>
  <si>
    <t>SERVICIO</t>
  </si>
  <si>
    <t>MATERIAL</t>
  </si>
  <si>
    <t>CANT.</t>
  </si>
  <si>
    <t>CODIGO</t>
  </si>
  <si>
    <t>TIPO</t>
  </si>
  <si>
    <t>NRO REQ</t>
  </si>
  <si>
    <t>FECHA REG</t>
  </si>
  <si>
    <t>BOH</t>
  </si>
  <si>
    <t>COT-363525-1-1</t>
  </si>
  <si>
    <t>COT-363525-1-2</t>
  </si>
  <si>
    <t>COT-363525-1-3</t>
  </si>
  <si>
    <t>COT-363525-1-4</t>
  </si>
  <si>
    <t>DYNAMIC</t>
  </si>
  <si>
    <t>MEM</t>
  </si>
  <si>
    <t>DOL</t>
  </si>
  <si>
    <t>COT-363525-C-5</t>
  </si>
  <si>
    <t>BC BEARING</t>
  </si>
  <si>
    <t>MACHEN</t>
  </si>
  <si>
    <t>BOHLER</t>
  </si>
  <si>
    <t>TRACTO SONI</t>
  </si>
  <si>
    <t>D260001</t>
  </si>
  <si>
    <t>D260002</t>
  </si>
  <si>
    <t>D260003</t>
  </si>
  <si>
    <t>D260004</t>
  </si>
  <si>
    <t>D260005</t>
  </si>
  <si>
    <t>TR48-00001</t>
  </si>
  <si>
    <t>TR48-00003</t>
  </si>
  <si>
    <t>TR48-00002</t>
  </si>
  <si>
    <t>TR48-00009</t>
  </si>
  <si>
    <t>TR48-00011</t>
  </si>
  <si>
    <t>FR48-00001</t>
  </si>
  <si>
    <t>FR48-00003</t>
  </si>
  <si>
    <t>FR48-00002</t>
  </si>
  <si>
    <t>FR48-00009</t>
  </si>
  <si>
    <t>FR48-00011</t>
  </si>
  <si>
    <t>FECHA REQ.</t>
  </si>
  <si>
    <t>FABRICANTE</t>
  </si>
  <si>
    <t>ESTADO REQ</t>
  </si>
  <si>
    <t>NRO COT</t>
  </si>
  <si>
    <t>DESCRIPCION</t>
  </si>
  <si>
    <t>VENDOR</t>
  </si>
  <si>
    <t>VALOR</t>
  </si>
  <si>
    <t>MONEDA</t>
  </si>
  <si>
    <t>CANTIDAD</t>
  </si>
  <si>
    <t>FECHA EST. LLEGADA</t>
  </si>
  <si>
    <t>ESTADO COT</t>
  </si>
  <si>
    <t>FECHA OC</t>
  </si>
  <si>
    <t>NRO GUIA</t>
  </si>
  <si>
    <t>NRO FACTURA</t>
  </si>
  <si>
    <t>FECHA LLEGADA</t>
  </si>
  <si>
    <t>ESTADO OC</t>
  </si>
  <si>
    <t>SIN APROBACIÓN</t>
  </si>
  <si>
    <t>PENDIENTE DE APROBACIÓN</t>
  </si>
  <si>
    <t>PENDIENTE DE COTIZACIÓN</t>
  </si>
  <si>
    <t>VISUALIZACIÓN DE REQUERIMIENTO</t>
  </si>
  <si>
    <t>RECURSOS SOLICITADOS - REQUERIMIENTOS</t>
  </si>
  <si>
    <t>VISUALIZACIÓN ESTADO DE RECURSOS SOLICITADOS</t>
  </si>
  <si>
    <t>PENDIENTE DE OC</t>
  </si>
  <si>
    <t xml:space="preserve">ANULADO </t>
  </si>
  <si>
    <t>¿Por qué?</t>
  </si>
  <si>
    <t xml:space="preserve"> -&gt; Proceso de devolución</t>
  </si>
  <si>
    <t>Comentario</t>
  </si>
  <si>
    <t>OBSERVACIONES</t>
  </si>
  <si>
    <t>entrega parcial (2/3)</t>
  </si>
  <si>
    <t>TRANSACIÓN</t>
  </si>
  <si>
    <t>INGRESO</t>
  </si>
  <si>
    <t>ENTREGADO</t>
  </si>
  <si>
    <t>UBICACIÓN</t>
  </si>
  <si>
    <t>ANULACIÓN</t>
  </si>
  <si>
    <t>ALMACEN</t>
  </si>
  <si>
    <t>ITEM OC</t>
  </si>
  <si>
    <t>Cantidad de llegada</t>
  </si>
  <si>
    <t>CANTIDAD EN TRANSITO</t>
  </si>
  <si>
    <t>CANTIDAD DISPONIBLE</t>
  </si>
  <si>
    <t>OT</t>
  </si>
  <si>
    <t>CANT. REQ</t>
  </si>
  <si>
    <t>Item de la 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</si>
</sst>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16" fontId="0" fillId="0" borderId="0" xfId="0" applyNumberFormat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0" fillId="0" borderId="1" xfId="0" applyBorder="1" applyAlignment="1">
      <alignment horizontal="center"/>
    </xf>
    <xf numFmtId="43" fontId="0" fillId="0" borderId="0" xfId="1" applyFont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6" borderId="0" xfId="0" applyFill="1"/>
    <xf numFmtId="1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0" xfId="0" applyFill="1" applyAlignment="1">
      <alignment horizontal="center"/>
    </xf>
  </cellXfs>
  <cellStyles count="2">
    <cellStyle name="Millares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98EF-51ED-4912-80A4-DCC8EA8A34E4}">
  <dimension ref="A1:AL25"/>
  <sheetViews>
    <sheetView workbookViewId="0">
      <selection activeCell="AD24" sqref="AD24"/>
    </sheetView>
  </sheetViews>
  <sheetFormatPr baseColWidth="10" defaultRowHeight="14.4" x14ac:dyDescent="0.3"/>
  <cols>
    <col min="1" max="1" width="42.77734375" bestFit="1" customWidth="1"/>
    <col min="2" max="2" width="3.44140625" customWidth="1"/>
    <col min="3" max="3" width="12.77734375" customWidth="1"/>
    <col min="4" max="4" width="13.21875" bestFit="1" customWidth="1"/>
    <col min="5" max="5" width="10.109375" customWidth="1"/>
    <col min="6" max="6" width="8.77734375" customWidth="1"/>
    <col min="7" max="7" width="23.77734375" bestFit="1" customWidth="1"/>
    <col min="8" max="8" width="9.88671875" customWidth="1"/>
    <col min="9" max="9" width="49.6640625" customWidth="1"/>
    <col min="10" max="10" width="63.21875" bestFit="1" customWidth="1"/>
    <col min="11" max="11" width="14.109375" bestFit="1" customWidth="1"/>
    <col min="12" max="12" width="13.109375" bestFit="1" customWidth="1"/>
    <col min="13" max="13" width="17.44140625" customWidth="1"/>
    <col min="14" max="16" width="14.6640625" customWidth="1"/>
    <col min="17" max="17" width="63.21875" bestFit="1" customWidth="1"/>
    <col min="18" max="18" width="23.21875" bestFit="1" customWidth="1"/>
    <col min="19" max="19" width="14.6640625" customWidth="1"/>
    <col min="20" max="20" width="11.88671875" bestFit="1" customWidth="1"/>
    <col min="21" max="21" width="10" customWidth="1"/>
    <col min="22" max="22" width="22.44140625" bestFit="1" customWidth="1"/>
    <col min="23" max="23" width="24.6640625" bestFit="1" customWidth="1"/>
    <col min="24" max="24" width="8.88671875" customWidth="1"/>
    <col min="25" max="25" width="15.77734375" bestFit="1" customWidth="1"/>
    <col min="26" max="26" width="11.88671875" bestFit="1" customWidth="1"/>
    <col min="27" max="27" width="12.77734375" bestFit="1" customWidth="1"/>
    <col min="28" max="28" width="14.5546875" bestFit="1" customWidth="1"/>
    <col min="29" max="29" width="20.77734375" bestFit="1" customWidth="1"/>
    <col min="30" max="30" width="19.88671875" bestFit="1" customWidth="1"/>
    <col min="31" max="31" width="15.77734375" bestFit="1" customWidth="1"/>
    <col min="32" max="33" width="21.5546875" bestFit="1" customWidth="1"/>
  </cols>
  <sheetData>
    <row r="1" spans="1:38" x14ac:dyDescent="0.3">
      <c r="C1" s="21" t="s">
        <v>131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0" t="s">
        <v>133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15"/>
    </row>
    <row r="2" spans="1:38" x14ac:dyDescent="0.3">
      <c r="C2" s="21" t="s">
        <v>132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19" t="s">
        <v>21</v>
      </c>
      <c r="O2" s="19"/>
      <c r="P2" s="19"/>
      <c r="Q2" s="19"/>
      <c r="R2" s="19"/>
      <c r="S2" s="19"/>
      <c r="T2" s="19"/>
      <c r="U2" s="19"/>
      <c r="V2" s="19"/>
      <c r="W2" s="19"/>
      <c r="X2" s="19" t="s">
        <v>62</v>
      </c>
      <c r="Y2" s="19"/>
      <c r="Z2" s="19"/>
      <c r="AA2" s="19"/>
      <c r="AB2" s="19"/>
      <c r="AC2" s="19"/>
      <c r="AD2" s="19"/>
      <c r="AE2" s="19"/>
      <c r="AF2" s="14"/>
      <c r="AH2" s="16" t="s">
        <v>146</v>
      </c>
      <c r="AI2" s="16"/>
      <c r="AJ2" s="16"/>
      <c r="AK2" s="16"/>
      <c r="AL2" s="16"/>
    </row>
    <row r="3" spans="1:38" x14ac:dyDescent="0.3">
      <c r="C3" s="3" t="s">
        <v>52</v>
      </c>
      <c r="D3" s="3" t="s">
        <v>52</v>
      </c>
      <c r="E3" s="3" t="s">
        <v>52</v>
      </c>
      <c r="F3" s="6" t="s">
        <v>32</v>
      </c>
      <c r="G3" s="5" t="s">
        <v>33</v>
      </c>
      <c r="H3" s="6" t="s">
        <v>32</v>
      </c>
      <c r="I3" s="5" t="s">
        <v>33</v>
      </c>
      <c r="J3" s="6" t="s">
        <v>32</v>
      </c>
      <c r="K3" s="3" t="s">
        <v>34</v>
      </c>
      <c r="L3" s="5" t="s">
        <v>33</v>
      </c>
      <c r="M3" s="3" t="s">
        <v>35</v>
      </c>
      <c r="N3" s="3" t="s">
        <v>52</v>
      </c>
      <c r="O3" s="3"/>
      <c r="P3" s="3" t="s">
        <v>52</v>
      </c>
      <c r="Q3" s="3" t="s">
        <v>60</v>
      </c>
      <c r="R3" s="3" t="s">
        <v>52</v>
      </c>
      <c r="S3" s="3" t="s">
        <v>59</v>
      </c>
      <c r="T3" s="3" t="s">
        <v>59</v>
      </c>
      <c r="U3" s="3" t="s">
        <v>60</v>
      </c>
      <c r="V3" s="3" t="s">
        <v>59</v>
      </c>
      <c r="W3" t="s">
        <v>58</v>
      </c>
      <c r="X3" t="s">
        <v>51</v>
      </c>
      <c r="Y3" s="3" t="s">
        <v>52</v>
      </c>
      <c r="Z3" s="3" t="s">
        <v>59</v>
      </c>
      <c r="AA3" s="3" t="s">
        <v>59</v>
      </c>
      <c r="AB3" s="3" t="s">
        <v>59</v>
      </c>
      <c r="AC3" s="3"/>
      <c r="AD3" s="3"/>
      <c r="AE3" s="3" t="s">
        <v>59</v>
      </c>
      <c r="AF3" s="3"/>
    </row>
    <row r="4" spans="1:38" x14ac:dyDescent="0.3">
      <c r="A4" t="s">
        <v>16</v>
      </c>
      <c r="C4" s="3" t="s">
        <v>28</v>
      </c>
      <c r="D4" s="3" t="s">
        <v>0</v>
      </c>
      <c r="E4" s="3" t="s">
        <v>1</v>
      </c>
      <c r="F4" s="3" t="s">
        <v>2</v>
      </c>
      <c r="G4" s="3" t="s">
        <v>3</v>
      </c>
      <c r="H4" s="3" t="s">
        <v>5</v>
      </c>
      <c r="I4" s="3" t="s">
        <v>4</v>
      </c>
      <c r="J4" s="3" t="s">
        <v>75</v>
      </c>
      <c r="K4" s="3" t="s">
        <v>18</v>
      </c>
      <c r="L4" s="3" t="s">
        <v>13</v>
      </c>
      <c r="M4" s="3" t="s">
        <v>48</v>
      </c>
      <c r="N4" s="3" t="s">
        <v>55</v>
      </c>
      <c r="O4" s="3"/>
      <c r="P4" t="s">
        <v>7</v>
      </c>
      <c r="Q4" t="s">
        <v>4</v>
      </c>
      <c r="R4" t="s">
        <v>8</v>
      </c>
      <c r="S4" t="s">
        <v>10</v>
      </c>
      <c r="T4" t="s">
        <v>9</v>
      </c>
      <c r="U4" t="s">
        <v>5</v>
      </c>
      <c r="V4" t="s">
        <v>63</v>
      </c>
      <c r="W4" t="s">
        <v>56</v>
      </c>
      <c r="X4" t="s">
        <v>49</v>
      </c>
      <c r="Y4" t="s">
        <v>61</v>
      </c>
      <c r="Z4" t="s">
        <v>11</v>
      </c>
      <c r="AA4" t="s">
        <v>12</v>
      </c>
      <c r="AB4" t="s">
        <v>14</v>
      </c>
      <c r="AE4" t="s">
        <v>50</v>
      </c>
      <c r="AF4" t="s">
        <v>138</v>
      </c>
    </row>
    <row r="5" spans="1:38" x14ac:dyDescent="0.3">
      <c r="A5" t="s">
        <v>15</v>
      </c>
      <c r="C5" s="3"/>
      <c r="D5" s="3"/>
      <c r="E5" s="3"/>
      <c r="F5" s="3"/>
      <c r="G5" s="3"/>
      <c r="H5" s="3"/>
      <c r="I5" s="3"/>
      <c r="J5" s="3"/>
      <c r="K5" s="3"/>
      <c r="L5" s="3" t="s">
        <v>19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38" x14ac:dyDescent="0.3">
      <c r="A6" t="s">
        <v>17</v>
      </c>
      <c r="C6" s="4">
        <v>46056</v>
      </c>
      <c r="D6" s="3" t="s">
        <v>27</v>
      </c>
      <c r="E6" s="3">
        <v>1</v>
      </c>
      <c r="F6" s="3" t="s">
        <v>68</v>
      </c>
      <c r="G6" s="3">
        <v>313131</v>
      </c>
      <c r="H6" s="3">
        <v>1</v>
      </c>
      <c r="I6" s="3"/>
      <c r="J6" s="3">
        <v>1</v>
      </c>
      <c r="K6" s="4">
        <v>46059</v>
      </c>
      <c r="L6" s="3" t="s">
        <v>29</v>
      </c>
      <c r="M6" s="3" t="s">
        <v>128</v>
      </c>
      <c r="N6" s="3" t="s">
        <v>27</v>
      </c>
      <c r="O6" s="3"/>
      <c r="P6" s="7" t="s">
        <v>53</v>
      </c>
      <c r="Q6" s="3"/>
      <c r="R6" s="3"/>
      <c r="S6" s="3"/>
      <c r="T6" s="3"/>
      <c r="U6" s="3"/>
      <c r="V6" s="3"/>
      <c r="W6" s="3" t="s">
        <v>130</v>
      </c>
      <c r="X6">
        <v>260025</v>
      </c>
      <c r="AE6" t="s">
        <v>134</v>
      </c>
      <c r="AH6" t="s">
        <v>142</v>
      </c>
    </row>
    <row r="7" spans="1:38" x14ac:dyDescent="0.3">
      <c r="C7" s="3"/>
      <c r="D7" s="3"/>
      <c r="E7" s="3"/>
      <c r="F7" s="3"/>
      <c r="G7" s="3"/>
      <c r="H7" s="3"/>
      <c r="I7" s="3"/>
      <c r="J7" s="3"/>
      <c r="K7" s="3"/>
      <c r="L7" s="3" t="s">
        <v>30</v>
      </c>
      <c r="M7" s="3" t="s">
        <v>47</v>
      </c>
      <c r="N7" s="3" t="s">
        <v>27</v>
      </c>
      <c r="O7" s="3"/>
      <c r="P7" s="7" t="s">
        <v>54</v>
      </c>
      <c r="Q7" s="3"/>
      <c r="R7" s="3"/>
      <c r="S7" s="3"/>
      <c r="T7" s="3"/>
      <c r="U7" s="3"/>
      <c r="V7" s="3"/>
      <c r="W7" s="3" t="s">
        <v>129</v>
      </c>
      <c r="AE7" t="s">
        <v>23</v>
      </c>
      <c r="AH7" t="s">
        <v>143</v>
      </c>
    </row>
    <row r="8" spans="1:38" x14ac:dyDescent="0.3">
      <c r="C8" s="3"/>
      <c r="D8" s="3"/>
      <c r="E8" s="3"/>
      <c r="F8" s="3"/>
      <c r="G8" s="3"/>
      <c r="H8" s="3"/>
      <c r="I8" s="3"/>
      <c r="J8" s="3"/>
      <c r="K8" s="3"/>
      <c r="L8" s="3" t="s">
        <v>31</v>
      </c>
      <c r="M8" s="3" t="s">
        <v>25</v>
      </c>
      <c r="N8" s="3"/>
      <c r="O8" s="3"/>
      <c r="P8" s="3"/>
      <c r="Q8" s="3"/>
      <c r="R8" s="3"/>
      <c r="S8" s="3"/>
      <c r="T8" s="3"/>
      <c r="U8" s="3"/>
      <c r="V8" s="3"/>
      <c r="W8" s="3" t="s">
        <v>47</v>
      </c>
      <c r="AE8" t="s">
        <v>44</v>
      </c>
      <c r="AF8" t="s">
        <v>140</v>
      </c>
      <c r="AH8" t="s">
        <v>145</v>
      </c>
    </row>
    <row r="9" spans="1:38" x14ac:dyDescent="0.3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 t="s">
        <v>25</v>
      </c>
      <c r="AE9" t="s">
        <v>24</v>
      </c>
    </row>
    <row r="10" spans="1:38" x14ac:dyDescent="0.3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 t="s">
        <v>57</v>
      </c>
      <c r="AE10" t="s">
        <v>135</v>
      </c>
      <c r="AF10" t="s">
        <v>136</v>
      </c>
    </row>
    <row r="11" spans="1:38" x14ac:dyDescent="0.3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9"/>
      <c r="O11" s="9"/>
      <c r="P11" s="3"/>
      <c r="Q11" s="9"/>
      <c r="R11" s="9" t="s">
        <v>65</v>
      </c>
      <c r="S11" s="9"/>
      <c r="T11" s="9"/>
      <c r="U11" s="9"/>
      <c r="V11" s="9"/>
      <c r="X11" s="8"/>
      <c r="Y11" s="8" t="s">
        <v>64</v>
      </c>
      <c r="AE11" t="s">
        <v>26</v>
      </c>
      <c r="AF11" t="s">
        <v>137</v>
      </c>
    </row>
    <row r="12" spans="1:38" x14ac:dyDescent="0.3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38" x14ac:dyDescent="0.3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38" x14ac:dyDescent="0.3">
      <c r="C14" s="11" t="s">
        <v>83</v>
      </c>
      <c r="D14" s="11" t="s">
        <v>82</v>
      </c>
      <c r="E14" s="11" t="s">
        <v>6</v>
      </c>
      <c r="F14" s="11" t="s">
        <v>81</v>
      </c>
      <c r="G14" s="11" t="s">
        <v>80</v>
      </c>
      <c r="H14" s="11" t="s">
        <v>79</v>
      </c>
      <c r="I14" s="11" t="s">
        <v>78</v>
      </c>
      <c r="J14" s="11" t="s">
        <v>77</v>
      </c>
      <c r="K14" s="11" t="s">
        <v>112</v>
      </c>
      <c r="L14" s="11" t="s">
        <v>113</v>
      </c>
      <c r="M14" s="11" t="s">
        <v>114</v>
      </c>
      <c r="N14" s="11" t="s">
        <v>82</v>
      </c>
      <c r="O14" s="11" t="s">
        <v>147</v>
      </c>
      <c r="P14" s="11" t="s">
        <v>115</v>
      </c>
      <c r="Q14" s="11" t="s">
        <v>116</v>
      </c>
      <c r="R14" s="11" t="s">
        <v>117</v>
      </c>
      <c r="S14" s="11" t="s">
        <v>118</v>
      </c>
      <c r="T14" s="11" t="s">
        <v>119</v>
      </c>
      <c r="U14" s="11" t="s">
        <v>120</v>
      </c>
      <c r="V14" s="11" t="s">
        <v>121</v>
      </c>
      <c r="W14" s="11" t="s">
        <v>122</v>
      </c>
      <c r="X14" s="11" t="s">
        <v>49</v>
      </c>
      <c r="Y14" s="11" t="s">
        <v>123</v>
      </c>
      <c r="Z14" s="11" t="s">
        <v>124</v>
      </c>
      <c r="AA14" s="11" t="s">
        <v>125</v>
      </c>
      <c r="AB14" s="11" t="s">
        <v>126</v>
      </c>
      <c r="AC14" s="11" t="s">
        <v>149</v>
      </c>
      <c r="AD14" s="11" t="s">
        <v>150</v>
      </c>
      <c r="AE14" s="11" t="s">
        <v>127</v>
      </c>
      <c r="AF14" s="11" t="s">
        <v>139</v>
      </c>
      <c r="AH14" s="1" t="s">
        <v>141</v>
      </c>
      <c r="AI14" s="1" t="s">
        <v>6</v>
      </c>
      <c r="AL14" s="1" t="s">
        <v>144</v>
      </c>
    </row>
    <row r="15" spans="1:38" x14ac:dyDescent="0.3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" t="str">
        <f>N16</f>
        <v>363525-1</v>
      </c>
      <c r="O15" s="2"/>
      <c r="P15" s="1" t="str">
        <f>P16</f>
        <v>COT-363525-1-1</v>
      </c>
      <c r="Q15" s="3" t="str">
        <f>Q16</f>
        <v>KIT DE SELLOS, AK4307, KOM</v>
      </c>
      <c r="R15" s="1" t="s">
        <v>90</v>
      </c>
      <c r="S15" s="12">
        <v>168</v>
      </c>
      <c r="T15" s="1" t="s">
        <v>91</v>
      </c>
      <c r="U15" s="1">
        <v>1</v>
      </c>
      <c r="V15" s="2">
        <f>V16</f>
        <v>45994</v>
      </c>
      <c r="W15" s="13" t="s">
        <v>57</v>
      </c>
      <c r="X15" s="1"/>
      <c r="Y15" s="1"/>
      <c r="Z15" s="1"/>
      <c r="AA15" s="1"/>
      <c r="AB15" s="1"/>
      <c r="AC15" s="1"/>
      <c r="AD15" s="1"/>
      <c r="AE15" s="1"/>
      <c r="AF15" s="1"/>
    </row>
    <row r="16" spans="1:38" x14ac:dyDescent="0.3">
      <c r="C16" s="2">
        <v>45989</v>
      </c>
      <c r="D16" s="2" t="s">
        <v>66</v>
      </c>
      <c r="E16" s="1">
        <v>1</v>
      </c>
      <c r="F16" s="1" t="s">
        <v>68</v>
      </c>
      <c r="G16" s="1" t="s">
        <v>70</v>
      </c>
      <c r="H16" s="1">
        <v>1</v>
      </c>
      <c r="I16" s="3" t="s">
        <v>71</v>
      </c>
      <c r="J16" s="1"/>
      <c r="K16" s="2">
        <f>C16+7</f>
        <v>45996</v>
      </c>
      <c r="L16" s="1" t="s">
        <v>30</v>
      </c>
      <c r="M16" s="10" t="s">
        <v>47</v>
      </c>
      <c r="N16" s="2" t="str">
        <f>D16</f>
        <v>363525-1</v>
      </c>
      <c r="O16" s="17">
        <f>E16</f>
        <v>1</v>
      </c>
      <c r="P16" s="1" t="s">
        <v>85</v>
      </c>
      <c r="Q16" s="3" t="str">
        <f>I16</f>
        <v>KIT DE SELLOS, AK4307, KOM</v>
      </c>
      <c r="R16" s="1" t="s">
        <v>89</v>
      </c>
      <c r="S16" s="12">
        <v>150</v>
      </c>
      <c r="T16" s="1" t="s">
        <v>91</v>
      </c>
      <c r="U16" s="1">
        <v>1</v>
      </c>
      <c r="V16" s="2">
        <f>C16+5</f>
        <v>45994</v>
      </c>
      <c r="W16" s="1" t="s">
        <v>47</v>
      </c>
      <c r="X16" s="1" t="s">
        <v>97</v>
      </c>
      <c r="Y16" s="2">
        <f>V16-1</f>
        <v>45993</v>
      </c>
      <c r="Z16" s="1" t="s">
        <v>102</v>
      </c>
      <c r="AA16" s="1" t="s">
        <v>107</v>
      </c>
      <c r="AB16" s="2">
        <f>V16</f>
        <v>45994</v>
      </c>
      <c r="AC16" s="1">
        <v>0</v>
      </c>
      <c r="AD16" s="1">
        <v>1</v>
      </c>
      <c r="AE16" s="10" t="s">
        <v>24</v>
      </c>
      <c r="AF16" s="1"/>
    </row>
    <row r="17" spans="3:32" x14ac:dyDescent="0.3">
      <c r="C17" s="2">
        <v>45989</v>
      </c>
      <c r="D17" s="1" t="s">
        <v>66</v>
      </c>
      <c r="E17" s="1">
        <v>2</v>
      </c>
      <c r="F17" s="1" t="s">
        <v>68</v>
      </c>
      <c r="G17" s="1" t="s">
        <v>70</v>
      </c>
      <c r="H17" s="1">
        <v>2</v>
      </c>
      <c r="I17" s="3" t="s">
        <v>72</v>
      </c>
      <c r="J17" s="1"/>
      <c r="K17" s="2">
        <f>C17+7</f>
        <v>45996</v>
      </c>
      <c r="L17" s="1" t="s">
        <v>30</v>
      </c>
      <c r="M17" s="10" t="s">
        <v>47</v>
      </c>
      <c r="N17" s="2" t="str">
        <f>D18</f>
        <v>363525-1</v>
      </c>
      <c r="O17" s="17">
        <f>E17</f>
        <v>2</v>
      </c>
      <c r="P17" s="1" t="s">
        <v>86</v>
      </c>
      <c r="Q17" s="3" t="str">
        <f>I17</f>
        <v>BEARING, PC1686, KOM</v>
      </c>
      <c r="R17" s="1" t="s">
        <v>93</v>
      </c>
      <c r="S17" s="12">
        <v>245</v>
      </c>
      <c r="T17" s="1" t="s">
        <v>91</v>
      </c>
      <c r="U17" s="1">
        <v>2</v>
      </c>
      <c r="V17" s="2">
        <f>C18+2</f>
        <v>45991</v>
      </c>
      <c r="W17" s="1" t="s">
        <v>47</v>
      </c>
      <c r="X17" s="1" t="s">
        <v>98</v>
      </c>
      <c r="Y17" s="2">
        <f>V17-1</f>
        <v>45990</v>
      </c>
      <c r="Z17" s="1" t="s">
        <v>103</v>
      </c>
      <c r="AA17" s="1" t="s">
        <v>108</v>
      </c>
      <c r="AB17" s="2">
        <f>V17</f>
        <v>45991</v>
      </c>
      <c r="AC17" s="1">
        <v>0</v>
      </c>
      <c r="AD17" s="1">
        <v>2</v>
      </c>
      <c r="AE17" s="10" t="s">
        <v>24</v>
      </c>
      <c r="AF17" s="1"/>
    </row>
    <row r="18" spans="3:32" x14ac:dyDescent="0.3">
      <c r="C18" s="2">
        <v>45989</v>
      </c>
      <c r="D18" s="1" t="s">
        <v>66</v>
      </c>
      <c r="E18" s="1">
        <v>3</v>
      </c>
      <c r="F18" s="1" t="s">
        <v>68</v>
      </c>
      <c r="G18" s="1" t="s">
        <v>70</v>
      </c>
      <c r="H18" s="1">
        <v>1</v>
      </c>
      <c r="I18" s="3" t="s">
        <v>73</v>
      </c>
      <c r="J18" s="1"/>
      <c r="K18" s="2">
        <f>C18+7</f>
        <v>45996</v>
      </c>
      <c r="L18" s="1" t="s">
        <v>31</v>
      </c>
      <c r="M18" s="10" t="s">
        <v>47</v>
      </c>
      <c r="N18" s="2" t="str">
        <f>D19</f>
        <v>363525-1</v>
      </c>
      <c r="O18" s="17">
        <f>E18</f>
        <v>3</v>
      </c>
      <c r="P18" s="1" t="s">
        <v>87</v>
      </c>
      <c r="Q18" s="3" t="str">
        <f>I18</f>
        <v>SELLO,RS17C 82.55 X 96.00 X 10.8 PU RED + NBR + PA, ALT</v>
      </c>
      <c r="R18" s="1" t="s">
        <v>94</v>
      </c>
      <c r="S18" s="12">
        <v>30</v>
      </c>
      <c r="T18" s="1" t="s">
        <v>91</v>
      </c>
      <c r="U18" s="1">
        <v>1</v>
      </c>
      <c r="V18" s="2">
        <f>C19+3</f>
        <v>45992</v>
      </c>
      <c r="W18" s="1" t="s">
        <v>47</v>
      </c>
      <c r="X18" s="1" t="s">
        <v>99</v>
      </c>
      <c r="Y18" s="2">
        <f>V18-1</f>
        <v>45991</v>
      </c>
      <c r="Z18" s="1" t="s">
        <v>104</v>
      </c>
      <c r="AA18" s="1" t="s">
        <v>109</v>
      </c>
      <c r="AB18" s="2">
        <f>V18</f>
        <v>45992</v>
      </c>
      <c r="AC18" s="1">
        <v>0</v>
      </c>
      <c r="AD18" s="1">
        <v>1</v>
      </c>
      <c r="AE18" s="10" t="s">
        <v>24</v>
      </c>
      <c r="AF18" s="1"/>
    </row>
    <row r="19" spans="3:32" x14ac:dyDescent="0.3">
      <c r="C19" s="2">
        <v>45989</v>
      </c>
      <c r="D19" s="1" t="s">
        <v>66</v>
      </c>
      <c r="E19" s="1">
        <v>4</v>
      </c>
      <c r="F19" s="1" t="s">
        <v>68</v>
      </c>
      <c r="G19" s="1" t="s">
        <v>70</v>
      </c>
      <c r="H19" s="1">
        <v>1</v>
      </c>
      <c r="I19" s="3" t="s">
        <v>74</v>
      </c>
      <c r="J19" s="1"/>
      <c r="K19" s="2">
        <f>C19+7</f>
        <v>45996</v>
      </c>
      <c r="L19" s="1" t="s">
        <v>84</v>
      </c>
      <c r="M19" s="10" t="s">
        <v>47</v>
      </c>
      <c r="N19" s="2" t="s">
        <v>66</v>
      </c>
      <c r="O19" s="17">
        <f>E19</f>
        <v>4</v>
      </c>
      <c r="P19" s="1" t="s">
        <v>88</v>
      </c>
      <c r="Q19" s="3" t="str">
        <f>I19</f>
        <v>ACERO, ACERO H1045 Ø 6-3/4" X 4" LONG,BOH</v>
      </c>
      <c r="R19" s="1" t="s">
        <v>95</v>
      </c>
      <c r="S19" s="12">
        <v>78</v>
      </c>
      <c r="T19" s="1" t="s">
        <v>91</v>
      </c>
      <c r="U19" s="1">
        <v>1</v>
      </c>
      <c r="V19" s="2">
        <f>C19+3</f>
        <v>45992</v>
      </c>
      <c r="W19" s="1" t="s">
        <v>47</v>
      </c>
      <c r="X19" s="1" t="s">
        <v>100</v>
      </c>
      <c r="Y19" s="2">
        <f>V19-1</f>
        <v>45991</v>
      </c>
      <c r="Z19" s="1" t="s">
        <v>105</v>
      </c>
      <c r="AA19" s="1" t="s">
        <v>110</v>
      </c>
      <c r="AB19" s="2">
        <f>V19</f>
        <v>45992</v>
      </c>
      <c r="AC19" s="1">
        <v>0</v>
      </c>
      <c r="AD19" s="1">
        <v>1</v>
      </c>
      <c r="AE19" s="10" t="s">
        <v>24</v>
      </c>
      <c r="AF19" s="1"/>
    </row>
    <row r="20" spans="3:32" x14ac:dyDescent="0.3">
      <c r="C20" s="2">
        <v>45995</v>
      </c>
      <c r="D20" s="1" t="s">
        <v>67</v>
      </c>
      <c r="E20" s="1">
        <v>5</v>
      </c>
      <c r="F20" s="1" t="s">
        <v>69</v>
      </c>
      <c r="G20" s="1" t="s">
        <v>70</v>
      </c>
      <c r="H20" s="1">
        <v>1</v>
      </c>
      <c r="I20" s="1"/>
      <c r="J20" s="1" t="s">
        <v>76</v>
      </c>
      <c r="K20" s="2">
        <f>C20+7</f>
        <v>46002</v>
      </c>
      <c r="L20" s="1"/>
      <c r="M20" s="10" t="s">
        <v>47</v>
      </c>
      <c r="N20" s="2" t="s">
        <v>67</v>
      </c>
      <c r="O20" s="17">
        <f>E20</f>
        <v>5</v>
      </c>
      <c r="P20" s="1" t="s">
        <v>92</v>
      </c>
      <c r="Q20" s="3" t="str">
        <f>J20</f>
        <v>CROMADO Y RECTIFICADO DE VASTAGO DE OT 363525 DIMENSION 3.25 X 32</v>
      </c>
      <c r="R20" s="1" t="s">
        <v>96</v>
      </c>
      <c r="S20" s="12">
        <v>350</v>
      </c>
      <c r="T20" s="1" t="s">
        <v>91</v>
      </c>
      <c r="U20" s="1">
        <v>1</v>
      </c>
      <c r="V20" s="2">
        <f>C20+7</f>
        <v>46002</v>
      </c>
      <c r="W20" s="1" t="s">
        <v>47</v>
      </c>
      <c r="X20" s="1" t="s">
        <v>101</v>
      </c>
      <c r="Y20" s="2">
        <f>V20-1</f>
        <v>46001</v>
      </c>
      <c r="Z20" s="1" t="s">
        <v>106</v>
      </c>
      <c r="AA20" s="1" t="s">
        <v>111</v>
      </c>
      <c r="AB20" s="2">
        <f>V20</f>
        <v>46002</v>
      </c>
      <c r="AC20" s="1">
        <v>0</v>
      </c>
      <c r="AD20" s="1">
        <v>1</v>
      </c>
      <c r="AE20" s="10" t="s">
        <v>24</v>
      </c>
      <c r="AF20" s="1"/>
    </row>
    <row r="21" spans="3:32" x14ac:dyDescent="0.3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3"/>
      <c r="O21" s="3"/>
      <c r="P21" s="3"/>
    </row>
    <row r="22" spans="3:32" x14ac:dyDescent="0.3">
      <c r="K22" s="3"/>
      <c r="L22" s="3"/>
      <c r="M22" s="3"/>
      <c r="N22" s="3"/>
      <c r="O22" s="3"/>
      <c r="P22" s="3"/>
    </row>
    <row r="23" spans="3:32" x14ac:dyDescent="0.3">
      <c r="K23" s="3"/>
      <c r="L23" s="3"/>
      <c r="M23" s="3"/>
      <c r="N23" s="3"/>
      <c r="O23" s="3"/>
      <c r="P23" s="3"/>
    </row>
    <row r="24" spans="3:32" x14ac:dyDescent="0.3">
      <c r="K24" s="3"/>
      <c r="L24" s="3"/>
      <c r="M24" s="3"/>
      <c r="N24" s="3"/>
      <c r="O24" s="3"/>
      <c r="P24" s="3"/>
    </row>
    <row r="25" spans="3:32" x14ac:dyDescent="0.3">
      <c r="K25" s="3"/>
      <c r="L25" s="3"/>
      <c r="M25" s="3"/>
    </row>
  </sheetData>
  <mergeCells count="5">
    <mergeCell ref="X2:AE2"/>
    <mergeCell ref="N1:AE1"/>
    <mergeCell ref="C2:M2"/>
    <mergeCell ref="N2:W2"/>
    <mergeCell ref="C1:M1"/>
  </mergeCells>
  <conditionalFormatting sqref="P2:P1048576">
    <cfRule type="duplicateValues" dxfId="1" priority="2"/>
  </conditionalFormatting>
  <conditionalFormatting sqref="P2:Q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C6794-610A-40E4-8DF3-80E6D3CA31B6}">
  <dimension ref="A1:AK28"/>
  <sheetViews>
    <sheetView tabSelected="1" workbookViewId="0">
      <selection activeCell="I11" sqref="I11"/>
    </sheetView>
  </sheetViews>
  <sheetFormatPr baseColWidth="10" defaultRowHeight="14.4" x14ac:dyDescent="0.3"/>
  <cols>
    <col min="1" max="1" width="42.77734375" bestFit="1" customWidth="1"/>
    <col min="2" max="2" width="3.44140625" customWidth="1"/>
    <col min="3" max="3" width="7" bestFit="1" customWidth="1"/>
    <col min="4" max="4" width="12.77734375" customWidth="1"/>
    <col min="5" max="5" width="13.21875" bestFit="1" customWidth="1"/>
    <col min="6" max="6" width="10.109375" customWidth="1"/>
    <col min="7" max="7" width="13.6640625" customWidth="1"/>
    <col min="8" max="8" width="23.77734375" bestFit="1" customWidth="1"/>
    <col min="9" max="9" width="26.5546875" bestFit="1" customWidth="1"/>
    <col min="10" max="10" width="49.6640625" customWidth="1"/>
    <col min="11" max="11" width="63.21875" bestFit="1" customWidth="1"/>
    <col min="12" max="12" width="14.109375" bestFit="1" customWidth="1"/>
    <col min="13" max="13" width="13.109375" bestFit="1" customWidth="1"/>
    <col min="14" max="15" width="17.44140625" customWidth="1"/>
    <col min="16" max="16" width="7.88671875" customWidth="1"/>
    <col min="17" max="17" width="63.21875" bestFit="1" customWidth="1"/>
    <col min="18" max="18" width="23.21875" bestFit="1" customWidth="1"/>
    <col min="19" max="19" width="14.6640625" customWidth="1"/>
    <col min="20" max="20" width="11.88671875" bestFit="1" customWidth="1"/>
    <col min="21" max="21" width="10" customWidth="1"/>
    <col min="22" max="22" width="22.44140625" bestFit="1" customWidth="1"/>
    <col min="23" max="23" width="24.6640625" bestFit="1" customWidth="1"/>
    <col min="24" max="24" width="15.77734375" bestFit="1" customWidth="1"/>
    <col min="25" max="25" width="11.88671875" bestFit="1" customWidth="1"/>
    <col min="26" max="26" width="12.77734375" bestFit="1" customWidth="1"/>
    <col min="27" max="27" width="14.5546875" bestFit="1" customWidth="1"/>
    <col min="28" max="28" width="20.77734375" bestFit="1" customWidth="1"/>
    <col min="29" max="29" width="20.77734375" customWidth="1"/>
    <col min="30" max="30" width="15.77734375" bestFit="1" customWidth="1"/>
    <col min="31" max="32" width="21.5546875" bestFit="1" customWidth="1"/>
    <col min="33" max="33" width="11.5546875" style="1"/>
  </cols>
  <sheetData>
    <row r="1" spans="1:37" x14ac:dyDescent="0.3">
      <c r="C1" s="21" t="s">
        <v>131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5"/>
    </row>
    <row r="2" spans="1:37" x14ac:dyDescent="0.3">
      <c r="C2" s="21" t="s">
        <v>132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4"/>
      <c r="AG2" s="28" t="s">
        <v>146</v>
      </c>
      <c r="AH2" s="16"/>
      <c r="AI2" s="16"/>
      <c r="AJ2" s="16"/>
      <c r="AK2" s="16"/>
    </row>
    <row r="3" spans="1:37" x14ac:dyDescent="0.3">
      <c r="D3" s="3" t="s">
        <v>52</v>
      </c>
      <c r="E3" s="3" t="s">
        <v>52</v>
      </c>
      <c r="F3" s="3" t="s">
        <v>52</v>
      </c>
      <c r="G3" s="6" t="s">
        <v>32</v>
      </c>
      <c r="H3" s="5" t="s">
        <v>33</v>
      </c>
      <c r="I3" s="6" t="s">
        <v>32</v>
      </c>
      <c r="J3" s="5" t="s">
        <v>33</v>
      </c>
      <c r="K3" s="6" t="s">
        <v>32</v>
      </c>
      <c r="L3" s="3" t="s">
        <v>34</v>
      </c>
      <c r="M3" s="5" t="s">
        <v>33</v>
      </c>
      <c r="N3" s="3" t="s">
        <v>35</v>
      </c>
      <c r="O3" t="s">
        <v>51</v>
      </c>
      <c r="P3" s="3" t="s">
        <v>153</v>
      </c>
      <c r="Q3" s="3" t="s">
        <v>60</v>
      </c>
      <c r="R3" s="3" t="s">
        <v>52</v>
      </c>
      <c r="S3" s="3" t="s">
        <v>59</v>
      </c>
      <c r="T3" s="3" t="s">
        <v>59</v>
      </c>
      <c r="U3" s="3" t="s">
        <v>60</v>
      </c>
      <c r="V3" s="3" t="s">
        <v>59</v>
      </c>
      <c r="W3" t="s">
        <v>58</v>
      </c>
      <c r="X3" s="3" t="s">
        <v>52</v>
      </c>
      <c r="Y3" s="3" t="s">
        <v>59</v>
      </c>
      <c r="Z3" s="3" t="s">
        <v>59</v>
      </c>
      <c r="AA3" s="3" t="s">
        <v>59</v>
      </c>
      <c r="AB3" s="3"/>
      <c r="AC3" s="3"/>
      <c r="AD3" s="3" t="s">
        <v>59</v>
      </c>
      <c r="AE3" s="3"/>
    </row>
    <row r="4" spans="1:37" x14ac:dyDescent="0.3">
      <c r="A4" t="s">
        <v>16</v>
      </c>
      <c r="C4" t="s">
        <v>151</v>
      </c>
      <c r="D4" s="3" t="s">
        <v>28</v>
      </c>
      <c r="E4" s="3" t="s">
        <v>0</v>
      </c>
      <c r="F4" s="3" t="s">
        <v>1</v>
      </c>
      <c r="G4" s="3" t="s">
        <v>2</v>
      </c>
      <c r="H4" s="3" t="s">
        <v>3</v>
      </c>
      <c r="I4" s="3" t="s">
        <v>5</v>
      </c>
      <c r="J4" s="3" t="s">
        <v>4</v>
      </c>
      <c r="K4" s="3" t="s">
        <v>75</v>
      </c>
      <c r="L4" s="3" t="s">
        <v>18</v>
      </c>
      <c r="M4" s="3" t="s">
        <v>13</v>
      </c>
      <c r="N4" s="3" t="s">
        <v>48</v>
      </c>
      <c r="O4" t="s">
        <v>49</v>
      </c>
      <c r="P4" s="3"/>
      <c r="Q4" t="s">
        <v>4</v>
      </c>
      <c r="R4" t="s">
        <v>8</v>
      </c>
      <c r="S4" t="s">
        <v>10</v>
      </c>
      <c r="T4" t="s">
        <v>9</v>
      </c>
      <c r="U4" t="s">
        <v>5</v>
      </c>
      <c r="V4" t="s">
        <v>63</v>
      </c>
      <c r="W4" t="s">
        <v>56</v>
      </c>
      <c r="X4" t="s">
        <v>61</v>
      </c>
      <c r="Y4" t="s">
        <v>11</v>
      </c>
      <c r="Z4" t="s">
        <v>12</v>
      </c>
      <c r="AA4" t="s">
        <v>14</v>
      </c>
      <c r="AB4" t="s">
        <v>148</v>
      </c>
      <c r="AD4" t="s">
        <v>50</v>
      </c>
      <c r="AE4" t="s">
        <v>138</v>
      </c>
    </row>
    <row r="5" spans="1:37" ht="15" thickBot="1" x14ac:dyDescent="0.35">
      <c r="A5" t="s">
        <v>15</v>
      </c>
      <c r="D5" s="3"/>
      <c r="E5" s="3"/>
      <c r="F5" s="3"/>
      <c r="G5" s="3"/>
      <c r="H5" s="3"/>
      <c r="I5" s="3"/>
      <c r="J5" s="3"/>
      <c r="K5" s="3"/>
      <c r="L5" s="3"/>
      <c r="M5" s="3" t="s">
        <v>19</v>
      </c>
      <c r="N5" s="3"/>
      <c r="P5" s="3"/>
      <c r="Q5" s="3"/>
      <c r="R5" s="3"/>
      <c r="S5" s="3"/>
      <c r="T5" s="3"/>
      <c r="U5" s="3"/>
      <c r="V5" s="3"/>
    </row>
    <row r="6" spans="1:37" x14ac:dyDescent="0.3">
      <c r="A6" t="s">
        <v>17</v>
      </c>
      <c r="D6" s="4">
        <v>46056</v>
      </c>
      <c r="E6" s="3" t="s">
        <v>27</v>
      </c>
      <c r="F6" s="3">
        <v>1</v>
      </c>
      <c r="G6" s="3" t="s">
        <v>68</v>
      </c>
      <c r="H6" s="3">
        <v>313131</v>
      </c>
      <c r="I6" s="3">
        <v>1</v>
      </c>
      <c r="J6" s="3"/>
      <c r="K6" s="3">
        <v>1</v>
      </c>
      <c r="L6" s="4">
        <v>46059</v>
      </c>
      <c r="M6" s="3" t="s">
        <v>29</v>
      </c>
      <c r="N6" s="22" t="s">
        <v>128</v>
      </c>
      <c r="O6">
        <v>260025</v>
      </c>
      <c r="P6" s="3"/>
      <c r="Q6" s="3"/>
      <c r="R6" s="3"/>
      <c r="S6" s="3"/>
      <c r="T6" s="3"/>
      <c r="U6" s="3"/>
      <c r="V6" s="3"/>
      <c r="W6" s="22" t="s">
        <v>130</v>
      </c>
      <c r="AD6" s="25" t="s">
        <v>134</v>
      </c>
      <c r="AG6" s="1" t="s">
        <v>142</v>
      </c>
    </row>
    <row r="7" spans="1:37" x14ac:dyDescent="0.3">
      <c r="D7" s="3"/>
      <c r="E7" s="3"/>
      <c r="F7" s="3"/>
      <c r="G7" s="3"/>
      <c r="H7" s="3"/>
      <c r="I7" s="3"/>
      <c r="J7" s="3"/>
      <c r="K7" s="3"/>
      <c r="L7" s="3"/>
      <c r="M7" s="3" t="s">
        <v>30</v>
      </c>
      <c r="N7" s="23" t="s">
        <v>47</v>
      </c>
      <c r="P7" s="3"/>
      <c r="Q7" s="3"/>
      <c r="R7" s="3"/>
      <c r="S7" s="3"/>
      <c r="T7" s="3"/>
      <c r="U7" s="3"/>
      <c r="V7" s="3"/>
      <c r="W7" s="23" t="s">
        <v>129</v>
      </c>
      <c r="AD7" s="26" t="s">
        <v>23</v>
      </c>
      <c r="AG7" s="1" t="s">
        <v>143</v>
      </c>
    </row>
    <row r="8" spans="1:37" ht="15" thickBot="1" x14ac:dyDescent="0.35">
      <c r="D8" s="3"/>
      <c r="E8" s="3"/>
      <c r="F8" s="3"/>
      <c r="G8" s="3"/>
      <c r="H8" s="3"/>
      <c r="I8" s="3"/>
      <c r="J8" s="3"/>
      <c r="K8" s="3"/>
      <c r="L8" s="3"/>
      <c r="M8" s="3" t="s">
        <v>31</v>
      </c>
      <c r="N8" s="24" t="s">
        <v>25</v>
      </c>
      <c r="P8" s="3"/>
      <c r="Q8" s="3"/>
      <c r="R8" s="3"/>
      <c r="S8" s="3"/>
      <c r="T8" s="3"/>
      <c r="U8" s="3"/>
      <c r="V8" s="3"/>
      <c r="W8" s="23" t="s">
        <v>47</v>
      </c>
      <c r="AD8" s="26" t="s">
        <v>44</v>
      </c>
      <c r="AE8" t="s">
        <v>140</v>
      </c>
      <c r="AG8" s="1" t="s">
        <v>145</v>
      </c>
    </row>
    <row r="9" spans="1:37" x14ac:dyDescent="0.3">
      <c r="D9" s="3"/>
      <c r="E9" s="3"/>
      <c r="F9" s="3"/>
      <c r="G9" s="3"/>
      <c r="H9" s="3"/>
      <c r="I9" s="3"/>
      <c r="J9" s="3"/>
      <c r="K9" s="3"/>
      <c r="L9" s="3"/>
      <c r="M9" s="3"/>
      <c r="N9" s="3"/>
      <c r="P9" s="3"/>
      <c r="Q9" s="3"/>
      <c r="R9" s="3"/>
      <c r="S9" s="3"/>
      <c r="T9" s="3"/>
      <c r="U9" s="3"/>
      <c r="V9" s="3"/>
      <c r="W9" s="23" t="s">
        <v>25</v>
      </c>
      <c r="AD9" s="26" t="s">
        <v>24</v>
      </c>
    </row>
    <row r="10" spans="1:37" ht="15" thickBot="1" x14ac:dyDescent="0.35"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P10" s="3"/>
      <c r="Q10" s="3"/>
      <c r="R10" s="3"/>
      <c r="S10" s="3"/>
      <c r="T10" s="3"/>
      <c r="U10" s="3"/>
      <c r="V10" s="3"/>
      <c r="W10" s="24" t="s">
        <v>57</v>
      </c>
      <c r="AD10" s="26" t="s">
        <v>135</v>
      </c>
      <c r="AE10" t="s">
        <v>136</v>
      </c>
    </row>
    <row r="11" spans="1:37" ht="15" thickBot="1" x14ac:dyDescent="0.35"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8"/>
      <c r="P11" s="9"/>
      <c r="Q11" s="9"/>
      <c r="R11" s="9" t="s">
        <v>65</v>
      </c>
      <c r="S11" s="9"/>
      <c r="T11" s="9"/>
      <c r="U11" s="9"/>
      <c r="V11" s="9"/>
      <c r="X11" s="8" t="s">
        <v>64</v>
      </c>
      <c r="AD11" s="27" t="s">
        <v>26</v>
      </c>
      <c r="AE11" t="s">
        <v>137</v>
      </c>
    </row>
    <row r="12" spans="1:37" x14ac:dyDescent="0.3"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P12" s="3"/>
      <c r="Q12" s="3"/>
      <c r="R12" s="3"/>
      <c r="S12" s="3"/>
      <c r="T12" s="3"/>
      <c r="U12" s="3"/>
      <c r="V12" s="3"/>
    </row>
    <row r="13" spans="1:37" x14ac:dyDescent="0.3"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P13" s="3"/>
      <c r="Q13" s="3"/>
      <c r="R13" s="3"/>
      <c r="S13" s="3"/>
      <c r="T13" s="3"/>
      <c r="U13" s="3"/>
      <c r="V13" s="3"/>
    </row>
    <row r="14" spans="1:37" x14ac:dyDescent="0.3">
      <c r="C14" s="11" t="s">
        <v>151</v>
      </c>
      <c r="D14" s="11" t="s">
        <v>83</v>
      </c>
      <c r="E14" s="11" t="s">
        <v>82</v>
      </c>
      <c r="F14" s="11" t="s">
        <v>6</v>
      </c>
      <c r="G14" s="11" t="s">
        <v>81</v>
      </c>
      <c r="H14" s="11" t="s">
        <v>80</v>
      </c>
      <c r="I14" s="11" t="s">
        <v>152</v>
      </c>
      <c r="J14" s="11" t="s">
        <v>78</v>
      </c>
      <c r="K14" s="11" t="s">
        <v>77</v>
      </c>
      <c r="L14" s="11" t="s">
        <v>112</v>
      </c>
      <c r="M14" s="11" t="s">
        <v>113</v>
      </c>
      <c r="N14" s="11" t="s">
        <v>114</v>
      </c>
      <c r="O14" s="11" t="s">
        <v>49</v>
      </c>
      <c r="P14" s="11" t="s">
        <v>147</v>
      </c>
      <c r="Q14" s="11" t="s">
        <v>116</v>
      </c>
      <c r="R14" s="11" t="s">
        <v>117</v>
      </c>
      <c r="S14" s="11" t="s">
        <v>118</v>
      </c>
      <c r="T14" s="11" t="s">
        <v>119</v>
      </c>
      <c r="U14" s="11" t="s">
        <v>120</v>
      </c>
      <c r="V14" s="11" t="s">
        <v>121</v>
      </c>
      <c r="W14" s="11" t="s">
        <v>122</v>
      </c>
      <c r="X14" s="11" t="s">
        <v>123</v>
      </c>
      <c r="Y14" s="11" t="s">
        <v>124</v>
      </c>
      <c r="Z14" s="11" t="s">
        <v>125</v>
      </c>
      <c r="AA14" s="11" t="s">
        <v>126</v>
      </c>
      <c r="AB14" s="11" t="s">
        <v>149</v>
      </c>
      <c r="AC14" s="11" t="s">
        <v>150</v>
      </c>
      <c r="AD14" s="11" t="s">
        <v>127</v>
      </c>
      <c r="AE14" s="11" t="s">
        <v>139</v>
      </c>
      <c r="AG14" s="1" t="s">
        <v>141</v>
      </c>
      <c r="AH14" s="1" t="s">
        <v>6</v>
      </c>
      <c r="AK14" s="1" t="s">
        <v>144</v>
      </c>
    </row>
    <row r="15" spans="1:37" x14ac:dyDescent="0.3">
      <c r="A15" t="s">
        <v>16</v>
      </c>
      <c r="C15">
        <v>363525</v>
      </c>
      <c r="D15" s="2">
        <v>45989</v>
      </c>
      <c r="E15" s="2" t="s">
        <v>66</v>
      </c>
      <c r="F15" s="1">
        <v>1</v>
      </c>
      <c r="G15" s="1" t="s">
        <v>68</v>
      </c>
      <c r="H15" s="1" t="s">
        <v>70</v>
      </c>
      <c r="I15" s="1">
        <v>1</v>
      </c>
      <c r="J15" s="3" t="s">
        <v>71</v>
      </c>
      <c r="K15" s="1"/>
      <c r="L15" s="2">
        <f>D15+7</f>
        <v>45996</v>
      </c>
      <c r="M15" s="1" t="s">
        <v>30</v>
      </c>
      <c r="N15" s="10" t="s">
        <v>47</v>
      </c>
      <c r="O15" s="1" t="s">
        <v>97</v>
      </c>
      <c r="P15" s="17">
        <f>F15</f>
        <v>1</v>
      </c>
      <c r="Q15" s="3" t="str">
        <f>J15</f>
        <v>KIT DE SELLOS, AK4307, KOM</v>
      </c>
      <c r="R15" s="1" t="s">
        <v>146</v>
      </c>
      <c r="S15" s="12">
        <v>150</v>
      </c>
      <c r="T15" s="1" t="s">
        <v>91</v>
      </c>
      <c r="U15" s="1">
        <v>1</v>
      </c>
      <c r="V15" s="2">
        <f>D15+5</f>
        <v>45994</v>
      </c>
      <c r="W15" s="1" t="s">
        <v>47</v>
      </c>
      <c r="X15" s="2">
        <f>V15-1</f>
        <v>45993</v>
      </c>
      <c r="Y15" s="1" t="s">
        <v>102</v>
      </c>
      <c r="Z15" s="1" t="s">
        <v>107</v>
      </c>
      <c r="AA15" s="2">
        <f>V15</f>
        <v>45994</v>
      </c>
      <c r="AB15" s="17">
        <v>0</v>
      </c>
      <c r="AC15" s="17">
        <v>1</v>
      </c>
      <c r="AD15" s="10" t="s">
        <v>24</v>
      </c>
      <c r="AE15" s="18"/>
    </row>
    <row r="16" spans="1:37" x14ac:dyDescent="0.3">
      <c r="A16" t="s">
        <v>15</v>
      </c>
      <c r="C16">
        <v>363525</v>
      </c>
      <c r="D16" s="2">
        <v>45989</v>
      </c>
      <c r="E16" s="1" t="s">
        <v>66</v>
      </c>
      <c r="F16" s="1">
        <v>2</v>
      </c>
      <c r="G16" s="1" t="s">
        <v>68</v>
      </c>
      <c r="H16" s="1" t="s">
        <v>70</v>
      </c>
      <c r="I16" s="1">
        <v>2</v>
      </c>
      <c r="J16" s="3" t="s">
        <v>72</v>
      </c>
      <c r="K16" s="1"/>
      <c r="L16" s="2">
        <f>D16+7</f>
        <v>45996</v>
      </c>
      <c r="M16" s="1" t="s">
        <v>30</v>
      </c>
      <c r="N16" s="10" t="s">
        <v>47</v>
      </c>
      <c r="O16" s="1" t="s">
        <v>98</v>
      </c>
      <c r="P16" s="17">
        <v>1</v>
      </c>
      <c r="Q16" s="3" t="str">
        <f>J16</f>
        <v>BEARING, PC1686, KOM</v>
      </c>
      <c r="R16" s="1" t="s">
        <v>93</v>
      </c>
      <c r="S16" s="12">
        <v>245</v>
      </c>
      <c r="T16" s="1" t="s">
        <v>91</v>
      </c>
      <c r="U16" s="1">
        <v>2</v>
      </c>
      <c r="V16" s="2">
        <f>D17+2</f>
        <v>45991</v>
      </c>
      <c r="W16" s="1" t="s">
        <v>47</v>
      </c>
      <c r="X16" s="2">
        <f>V16-1</f>
        <v>45990</v>
      </c>
      <c r="Y16" s="1" t="s">
        <v>103</v>
      </c>
      <c r="Z16" s="1" t="s">
        <v>108</v>
      </c>
      <c r="AA16" s="2">
        <f>V16</f>
        <v>45991</v>
      </c>
      <c r="AB16" s="17">
        <v>0</v>
      </c>
      <c r="AC16" s="17">
        <v>2</v>
      </c>
      <c r="AD16" s="10" t="s">
        <v>24</v>
      </c>
      <c r="AE16" s="1"/>
      <c r="AG16" s="1">
        <v>260025</v>
      </c>
    </row>
    <row r="17" spans="1:31" x14ac:dyDescent="0.3">
      <c r="A17" t="s">
        <v>17</v>
      </c>
      <c r="C17">
        <v>363525</v>
      </c>
      <c r="D17" s="2">
        <v>45989</v>
      </c>
      <c r="E17" s="1" t="s">
        <v>66</v>
      </c>
      <c r="F17" s="1">
        <v>3</v>
      </c>
      <c r="G17" s="1" t="s">
        <v>68</v>
      </c>
      <c r="H17" s="1" t="s">
        <v>70</v>
      </c>
      <c r="I17" s="1">
        <v>1</v>
      </c>
      <c r="J17" s="3" t="s">
        <v>73</v>
      </c>
      <c r="K17" s="1"/>
      <c r="L17" s="2">
        <f>D17+7</f>
        <v>45996</v>
      </c>
      <c r="M17" s="1" t="s">
        <v>31</v>
      </c>
      <c r="N17" s="10" t="s">
        <v>47</v>
      </c>
      <c r="O17" s="1" t="s">
        <v>99</v>
      </c>
      <c r="P17" s="17">
        <v>1</v>
      </c>
      <c r="Q17" s="3" t="str">
        <f>J17</f>
        <v>SELLO,RS17C 82.55 X 96.00 X 10.8 PU RED + NBR + PA, ALT</v>
      </c>
      <c r="R17" s="1" t="s">
        <v>94</v>
      </c>
      <c r="S17" s="12">
        <v>30</v>
      </c>
      <c r="T17" s="1" t="s">
        <v>91</v>
      </c>
      <c r="U17" s="1">
        <v>1</v>
      </c>
      <c r="V17" s="2">
        <f>D18+3</f>
        <v>45992</v>
      </c>
      <c r="W17" s="1" t="s">
        <v>47</v>
      </c>
      <c r="X17" s="2">
        <f>V17-1</f>
        <v>45991</v>
      </c>
      <c r="Y17" s="1" t="s">
        <v>104</v>
      </c>
      <c r="Z17" s="1" t="s">
        <v>109</v>
      </c>
      <c r="AA17" s="2">
        <f>V17</f>
        <v>45992</v>
      </c>
      <c r="AB17" s="17">
        <v>0</v>
      </c>
      <c r="AC17" s="17">
        <v>1</v>
      </c>
      <c r="AD17" s="10" t="s">
        <v>24</v>
      </c>
      <c r="AE17" s="1"/>
    </row>
    <row r="18" spans="1:31" x14ac:dyDescent="0.3">
      <c r="C18">
        <v>363525</v>
      </c>
      <c r="D18" s="2">
        <v>45989</v>
      </c>
      <c r="E18" s="1" t="s">
        <v>66</v>
      </c>
      <c r="F18" s="1">
        <v>4</v>
      </c>
      <c r="G18" s="1" t="s">
        <v>68</v>
      </c>
      <c r="H18" s="1" t="s">
        <v>70</v>
      </c>
      <c r="I18" s="1">
        <v>1</v>
      </c>
      <c r="J18" s="3" t="s">
        <v>74</v>
      </c>
      <c r="K18" s="1"/>
      <c r="L18" s="2">
        <f>D18+7</f>
        <v>45996</v>
      </c>
      <c r="M18" s="1" t="s">
        <v>84</v>
      </c>
      <c r="N18" s="10" t="s">
        <v>47</v>
      </c>
      <c r="O18" s="1" t="s">
        <v>100</v>
      </c>
      <c r="P18" s="17">
        <v>1</v>
      </c>
      <c r="Q18" s="3" t="str">
        <f>J18</f>
        <v>ACERO, ACERO H1045 Ø 6-3/4" X 4" LONG,BOH</v>
      </c>
      <c r="R18" s="1" t="s">
        <v>95</v>
      </c>
      <c r="S18" s="12">
        <v>78</v>
      </c>
      <c r="T18" s="1" t="s">
        <v>91</v>
      </c>
      <c r="U18" s="1">
        <v>1</v>
      </c>
      <c r="V18" s="2">
        <f>D18+3</f>
        <v>45992</v>
      </c>
      <c r="W18" s="1" t="s">
        <v>47</v>
      </c>
      <c r="X18" s="2">
        <f>V18-1</f>
        <v>45991</v>
      </c>
      <c r="Y18" s="1" t="s">
        <v>105</v>
      </c>
      <c r="Z18" s="1" t="s">
        <v>110</v>
      </c>
      <c r="AA18" s="2">
        <f>V18</f>
        <v>45992</v>
      </c>
      <c r="AB18" s="17">
        <v>0</v>
      </c>
      <c r="AC18" s="17">
        <v>1</v>
      </c>
      <c r="AD18" s="10" t="s">
        <v>24</v>
      </c>
      <c r="AE18" s="1"/>
    </row>
    <row r="19" spans="1:31" x14ac:dyDescent="0.3">
      <c r="C19">
        <v>363525</v>
      </c>
      <c r="D19" s="2">
        <v>45995</v>
      </c>
      <c r="E19" s="1" t="s">
        <v>67</v>
      </c>
      <c r="F19" s="1">
        <v>5</v>
      </c>
      <c r="G19" s="1" t="s">
        <v>69</v>
      </c>
      <c r="H19" s="1" t="s">
        <v>70</v>
      </c>
      <c r="I19" s="1">
        <v>1</v>
      </c>
      <c r="J19" s="1"/>
      <c r="K19" s="1" t="s">
        <v>76</v>
      </c>
      <c r="L19" s="2">
        <f>D19+7</f>
        <v>46002</v>
      </c>
      <c r="M19" s="1"/>
      <c r="N19" s="10" t="s">
        <v>47</v>
      </c>
      <c r="O19" s="1" t="s">
        <v>101</v>
      </c>
      <c r="P19" s="17">
        <v>1</v>
      </c>
      <c r="Q19" s="3" t="str">
        <f>K19</f>
        <v>CROMADO Y RECTIFICADO DE VASTAGO DE OT 363525 DIMENSION 3.25 X 32</v>
      </c>
      <c r="R19" s="1" t="s">
        <v>96</v>
      </c>
      <c r="S19" s="12">
        <v>350</v>
      </c>
      <c r="T19" s="1" t="s">
        <v>91</v>
      </c>
      <c r="U19" s="1">
        <v>1</v>
      </c>
      <c r="V19" s="2">
        <f>D19+7</f>
        <v>46002</v>
      </c>
      <c r="W19" s="1" t="s">
        <v>47</v>
      </c>
      <c r="X19" s="2">
        <f>V19-1</f>
        <v>46001</v>
      </c>
      <c r="Y19" s="1" t="s">
        <v>106</v>
      </c>
      <c r="Z19" s="1" t="s">
        <v>111</v>
      </c>
      <c r="AA19" s="2">
        <f>V19</f>
        <v>46002</v>
      </c>
      <c r="AB19" s="17">
        <v>0</v>
      </c>
      <c r="AC19" s="17">
        <v>1</v>
      </c>
      <c r="AD19" s="10" t="s">
        <v>24</v>
      </c>
      <c r="AE19" s="1"/>
    </row>
    <row r="20" spans="1:31" x14ac:dyDescent="0.3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3"/>
      <c r="P20" s="3"/>
    </row>
    <row r="21" spans="1:31" x14ac:dyDescent="0.3">
      <c r="L21" s="3"/>
      <c r="M21" s="3"/>
      <c r="N21" s="3"/>
      <c r="O21" s="3"/>
      <c r="P21" s="1">
        <v>1</v>
      </c>
      <c r="Q21" t="s">
        <v>72</v>
      </c>
      <c r="R21" s="1" t="s">
        <v>93</v>
      </c>
    </row>
    <row r="22" spans="1:31" x14ac:dyDescent="0.3">
      <c r="L22" s="3"/>
      <c r="M22" s="3"/>
      <c r="N22" s="3"/>
      <c r="O22" s="3"/>
      <c r="P22" s="1">
        <v>1</v>
      </c>
      <c r="Q22" t="s">
        <v>72</v>
      </c>
      <c r="R22" s="1" t="s">
        <v>93</v>
      </c>
    </row>
    <row r="23" spans="1:31" x14ac:dyDescent="0.3">
      <c r="L23" s="3"/>
      <c r="M23" s="3"/>
      <c r="N23" s="3"/>
      <c r="O23" s="3"/>
      <c r="P23" s="3"/>
      <c r="R23">
        <v>1800</v>
      </c>
      <c r="T23">
        <v>12</v>
      </c>
      <c r="U23">
        <f>T23/6</f>
        <v>2</v>
      </c>
    </row>
    <row r="24" spans="1:31" x14ac:dyDescent="0.3">
      <c r="L24" s="3"/>
      <c r="M24" s="3"/>
      <c r="N24" s="3"/>
      <c r="O24" s="3"/>
      <c r="R24">
        <v>2200</v>
      </c>
      <c r="T24">
        <v>135</v>
      </c>
    </row>
    <row r="25" spans="1:31" x14ac:dyDescent="0.3">
      <c r="R25">
        <v>450</v>
      </c>
      <c r="T25">
        <f>T23*T24</f>
        <v>1620</v>
      </c>
    </row>
    <row r="26" spans="1:31" x14ac:dyDescent="0.3">
      <c r="R26">
        <v>480</v>
      </c>
    </row>
    <row r="28" spans="1:31" x14ac:dyDescent="0.3">
      <c r="R28">
        <f>SUM(R23:R27)</f>
        <v>4930</v>
      </c>
    </row>
  </sheetData>
  <mergeCells count="5">
    <mergeCell ref="C1:N1"/>
    <mergeCell ref="O1:AD1"/>
    <mergeCell ref="C2:N2"/>
    <mergeCell ref="O2:W2"/>
    <mergeCell ref="X2:A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1695-50D7-45F5-ADA7-56C3D7CE43F8}">
  <dimension ref="A2:B10"/>
  <sheetViews>
    <sheetView workbookViewId="0">
      <selection activeCell="A3" sqref="A3"/>
    </sheetView>
  </sheetViews>
  <sheetFormatPr baseColWidth="10" defaultRowHeight="14.4" x14ac:dyDescent="0.3"/>
  <sheetData>
    <row r="2" spans="1:2" x14ac:dyDescent="0.3">
      <c r="A2" t="s">
        <v>45</v>
      </c>
      <c r="B2" t="s">
        <v>46</v>
      </c>
    </row>
    <row r="3" spans="1:2" x14ac:dyDescent="0.3">
      <c r="A3" t="s">
        <v>36</v>
      </c>
      <c r="B3" t="s">
        <v>20</v>
      </c>
    </row>
    <row r="4" spans="1:2" x14ac:dyDescent="0.3">
      <c r="A4" t="s">
        <v>37</v>
      </c>
      <c r="B4" t="s">
        <v>21</v>
      </c>
    </row>
    <row r="5" spans="1:2" x14ac:dyDescent="0.3">
      <c r="A5" t="s">
        <v>38</v>
      </c>
      <c r="B5" t="s">
        <v>22</v>
      </c>
    </row>
    <row r="6" spans="1:2" x14ac:dyDescent="0.3">
      <c r="A6" t="s">
        <v>39</v>
      </c>
      <c r="B6" t="s">
        <v>23</v>
      </c>
    </row>
    <row r="7" spans="1:2" x14ac:dyDescent="0.3">
      <c r="A7" t="s">
        <v>40</v>
      </c>
      <c r="B7" t="s">
        <v>24</v>
      </c>
    </row>
    <row r="8" spans="1:2" x14ac:dyDescent="0.3">
      <c r="A8" t="s">
        <v>43</v>
      </c>
      <c r="B8" t="s">
        <v>44</v>
      </c>
    </row>
    <row r="9" spans="1:2" x14ac:dyDescent="0.3">
      <c r="A9" t="s">
        <v>41</v>
      </c>
      <c r="B9" t="s">
        <v>25</v>
      </c>
    </row>
    <row r="10" spans="1:2" x14ac:dyDescent="0.3">
      <c r="A10" t="s">
        <v>42</v>
      </c>
      <c r="B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VERSION FINAL</vt:lpstr>
      <vt:lpstr>Status req.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HPK INVERSIONES</dc:creator>
  <cp:lastModifiedBy>HPK INVERSIONES</cp:lastModifiedBy>
  <dcterms:created xsi:type="dcterms:W3CDTF">2026-02-03T16:49:22Z</dcterms:created>
  <dcterms:modified xsi:type="dcterms:W3CDTF">2026-02-06T15:30:12Z</dcterms:modified>
</cp:coreProperties>
</file>